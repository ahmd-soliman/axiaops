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hmed/Developer/repo/axiaops/docs/"/>
    </mc:Choice>
  </mc:AlternateContent>
  <xr:revisionPtr revIDLastSave="0" documentId="13_ncr:1_{E39303CC-5F24-8D42-9B4E-DDDD6A040A17}" xr6:coauthVersionLast="47" xr6:coauthVersionMax="47" xr10:uidLastSave="{00000000-0000-0000-0000-000000000000}"/>
  <bookViews>
    <workbookView xWindow="0" yWindow="600" windowWidth="38400" windowHeight="19760" xr2:uid="{00000000-000D-0000-FFFF-FFFF00000000}"/>
  </bookViews>
  <sheets>
    <sheet name="Phase 2 Progr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</calcChain>
</file>

<file path=xl/sharedStrings.xml><?xml version="1.0" encoding="utf-8"?>
<sst xmlns="http://schemas.openxmlformats.org/spreadsheetml/2006/main" count="125" uniqueCount="79">
  <si>
    <t>AxiaOps Phase 2 (Alpha) — Task Tracking | Updated: April 12, 2026 — 11:30 AM</t>
  </si>
  <si>
    <t>Updated: April 12, 2026</t>
  </si>
  <si>
    <t>Task</t>
  </si>
  <si>
    <t>Status</t>
  </si>
  <si>
    <t>Started</t>
  </si>
  <si>
    <t>Target</t>
  </si>
  <si>
    <t>Priority</t>
  </si>
  <si>
    <t>Implemented slog/Sentry/Prometheus | Tests: logging_test.go (output formats, log levels)</t>
  </si>
  <si>
    <t>Owner</t>
  </si>
  <si>
    <t>Dependencies</t>
  </si>
  <si>
    <t>DONE</t>
  </si>
  <si>
    <t>Apr 7</t>
  </si>
  <si>
    <t>Apr 10</t>
  </si>
  <si>
    <t>P0</t>
  </si>
  <si>
    <t>All /v1/ routes, nginx proxy configured | Tests: handler_test.go (/v1/ prefix verification)</t>
  </si>
  <si>
    <t>Ahmed</t>
  </si>
  <si>
    <t>—</t>
  </si>
  <si>
    <t>✅ API Versioning (/v1/ prefix)</t>
  </si>
  <si>
    <t>Apr 8</t>
  </si>
  <si>
    <t>Per-tenant sliding window, 60 req/min | Tests: ratelimit_test.go (isolation, token bucket, concurrent access)</t>
  </si>
  <si>
    <t>✅ Graceful Shutdown (SIGTERM handling)</t>
  </si>
  <si>
    <t>✅ DONE</t>
  </si>
  <si>
    <t>Apr 9</t>
  </si>
  <si>
    <t>signal.NotifyContext + server.Shutdown() in API &amp; ingestion services. 30-sec timeout, request draining, DB cleanup. Test: make test-shutdown</t>
  </si>
  <si>
    <t>Both API and ingestion need signal.NotifyContext + server.Shutdown()</t>
  </si>
  <si>
    <t>✅ GitLab CI Pipeline (build + deploy stages)</t>
  </si>
  <si>
    <t>Apr 5</t>
  </si>
  <si>
    <t>Apr 12</t>
  </si>
  <si>
    <t>Currently only test stage; need Docker build, ECR push, App Runner deploy</t>
  </si>
  <si>
    <t>API versioning</t>
  </si>
  <si>
    <t>❌ Scheduled Auto-Scan (24h interval per account)</t>
  </si>
  <si>
    <t>NOT STARTED</t>
  </si>
  <si>
    <t>May 15</t>
  </si>
  <si>
    <t>P1</t>
  </si>
  <si>
    <t>Background ticker in API; respects scan_interval_hours field; skips if already scanning</t>
  </si>
  <si>
    <t>Graceful shutdown</t>
  </si>
  <si>
    <t>❌ cost_records Retention (90-day cleanup)</t>
  </si>
  <si>
    <t>May 20</t>
  </si>
  <si>
    <t>Daily cleanup job; DELETE old records; add created_at index</t>
  </si>
  <si>
    <t>Scheduled auto-scan</t>
  </si>
  <si>
    <t>✅ Scan Recovery (Stuck scan timeout)</t>
  </si>
  <si>
    <t>Startup recovery + 5-min ticker exist; 15-min stuck timeout implemented</t>
  </si>
  <si>
    <t>Rate limiting</t>
  </si>
  <si>
    <t>❌ Redis Integration (JWKS cache, scan queue, rate limiting)</t>
  </si>
  <si>
    <t>June 1</t>
  </si>
  <si>
    <t>Dev: container in docker-compose; Production: ElastiCache Serverless</t>
  </si>
  <si>
    <t>❌ Weekly Email Digest + Slack Alerts</t>
  </si>
  <si>
    <t>June 15</t>
  </si>
  <si>
    <t>P2</t>
  </si>
  <si>
    <t>Email: Resend or SendGrid; Slack webhook; daily digest of ghost spend</t>
  </si>
  <si>
    <t>Redis integration</t>
  </si>
  <si>
    <t>❌ Production Deployment (App Runner, RDS, Terraform)</t>
  </si>
  <si>
    <t>July 1</t>
  </si>
  <si>
    <t>App Runner for API + ingestion; RDS PostgreSQL db.t4g.micro; Secrets Manager</t>
  </si>
  <si>
    <t>All Phase 2 items</t>
  </si>
  <si>
    <t>Summary</t>
  </si>
  <si>
    <t>Status Distribution:</t>
  </si>
  <si>
    <t>✅ Done:</t>
  </si>
  <si>
    <t>🔄 In Progress:</t>
  </si>
  <si>
    <t>⏸ Blocked/Not Started:</t>
  </si>
  <si>
    <t>Phase 2 Timeline</t>
  </si>
  <si>
    <t>May 2026: Core infrastructure (graceful shutdown, CI/CD, scheduled scans, cost cleanup)</t>
  </si>
  <si>
    <t>June 2026: Redis integration, alerting (email + Slack)</t>
  </si>
  <si>
    <t>July 2026: Production deployment to App Runner + RDS</t>
  </si>
  <si>
    <t>NEXT STEPS &amp; DEPENDENCIES</t>
  </si>
  <si>
    <t>🎯 PRIORITY: Graceful Shutdown (P0, May 1 target)</t>
  </si>
  <si>
    <t>Blocker for: Scheduled Auto-Scan, Redis Integration, Production Deployment</t>
  </si>
  <si>
    <t>🔧 GRACEFUL SHUTDOWN IMPLEMENTATION</t>
  </si>
  <si>
    <t>API Service (services/api/cmd/main.go, lines 200-243):</t>
  </si>
  <si>
    <t xml:space="preserve">  ✓ signal.NotifyContext(shutdownCtx, os.Interrupt, syscall.SIGTERM)</t>
  </si>
  <si>
    <t xml:space="preserve">  ✓ server.Shutdown(shutdownCtx) with 30-second timeout</t>
  </si>
  <si>
    <t xml:space="preserve">  ✓ Request draining, database cleanup, logging</t>
  </si>
  <si>
    <t>Ingestion Service (services/ingestion/cmd/main.go, lines 167-210):</t>
  </si>
  <si>
    <t xml:space="preserve">  ✓ Same pattern: signal.NotifyContext + server.Shutdown()</t>
  </si>
  <si>
    <t xml:space="preserve">  ✓ Handles both SIGTERM (App Runner) and SIGINT (Ctrl+C)</t>
  </si>
  <si>
    <t>📝 Test Command: make test-shutdown</t>
  </si>
  <si>
    <t>✅ Observability (Structured logging,, Prometheus)</t>
  </si>
  <si>
    <t>✅  Versioned Migrations</t>
  </si>
  <si>
    <t>1. Add golang-migrate CLI + Go module dependency
2. Create 001_initial.sql (baseline schema) and 002_add_tenant_id.sql (RLS policies)
3. Wire the migration runner into both api and ingestion startup using MIGRATION_DATABASE_URL
4. Remove inline CREATE TABLE IF NOT EXISTS / ALTER TABLE calls from application code
5. Verify with make test-postgres that schema_migrations table is populated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</si>
</sst>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i/>
      <sz val="10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C00000"/>
      <name val="Calibri"/>
    </font>
    <font>
      <b/>
      <sz val="11"/>
      <color rgb="FF9C0006"/>
      <name val="Calibri"/>
    </font>
    <font>
      <b/>
      <sz val="11"/>
      <color rgb="FFF79646"/>
      <name val="Calibri"/>
    </font>
    <font>
      <b/>
      <sz val="11"/>
      <color rgb="FF92D050"/>
      <name val="Calibri"/>
    </font>
    <font>
      <b/>
      <sz val="12"/>
      <name val="Calibri"/>
    </font>
    <font>
      <b/>
      <sz val="12"/>
      <color rgb="FFFFFFFF"/>
      <name val="Calibri"/>
    </font>
    <font>
      <sz val="11"/>
      <color rgb="FFC00000"/>
      <name val="Calibri"/>
    </font>
    <font>
      <sz val="10"/>
      <color rgb="FF00B050"/>
      <name val="Calibri"/>
    </font>
    <font>
      <i/>
      <sz val="9"/>
      <name val="Calibri"/>
    </font>
    <font>
      <sz val="11"/>
      <color rgb="FF006100"/>
      <name val="Calibri"/>
    </font>
    <font>
      <b/>
      <sz val="10"/>
      <name val="Calibri"/>
    </font>
    <font>
      <b/>
      <sz val="10"/>
      <color rgb="FF0070C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/>
    <xf numFmtId="0" fontId="0" fillId="0" borderId="1" xfId="0" applyBorder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4" borderId="1" xfId="0" applyFont="1" applyFill="1" applyBorder="1" applyAlignment="1">
      <alignment horizontal="left" vertical="top" wrapText="1"/>
    </xf>
    <xf numFmtId="0" fontId="2" fillId="3" borderId="0" xfId="0" applyFont="1" applyFill="1"/>
    <xf numFmtId="0" fontId="14" fillId="6" borderId="0" xfId="0" applyFont="1" applyFill="1"/>
    <xf numFmtId="0" fontId="14" fillId="0" borderId="0" xfId="0" applyFont="1"/>
    <xf numFmtId="0" fontId="15" fillId="0" borderId="0" xfId="0" applyFont="1"/>
    <xf numFmtId="0" fontId="8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H6" sqref="H6"/>
    </sheetView>
  </sheetViews>
  <sheetFormatPr baseColWidth="10" defaultColWidth="8.83203125" defaultRowHeight="15"/>
  <cols>
    <col min="1" max="1" width="42" customWidth="1"/>
    <col min="2" max="2" width="15" customWidth="1"/>
    <col min="3" max="4" width="12" customWidth="1"/>
    <col min="5" max="5" width="10" customWidth="1"/>
    <col min="6" max="6" width="35" customWidth="1"/>
    <col min="7" max="7" width="12" customWidth="1"/>
    <col min="8" max="8" width="20" customWidth="1"/>
  </cols>
  <sheetData>
    <row r="1" spans="1:8" ht="25" customHeight="1">
      <c r="A1" s="21" t="s">
        <v>0</v>
      </c>
      <c r="B1" s="22"/>
      <c r="C1" s="22"/>
      <c r="D1" s="22"/>
      <c r="E1" s="22"/>
      <c r="F1" s="22"/>
      <c r="G1" s="22"/>
      <c r="H1" s="22"/>
    </row>
    <row r="2" spans="1:8" ht="18" customHeight="1">
      <c r="A2" s="1" t="s">
        <v>1</v>
      </c>
    </row>
    <row r="4" spans="1:8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40" customHeight="1">
      <c r="A5" s="3" t="s">
        <v>76</v>
      </c>
      <c r="B5" s="4" t="s">
        <v>10</v>
      </c>
      <c r="C5" s="3" t="s">
        <v>11</v>
      </c>
      <c r="D5" s="3" t="s">
        <v>12</v>
      </c>
      <c r="E5" s="5" t="s">
        <v>13</v>
      </c>
      <c r="F5" s="3" t="s">
        <v>14</v>
      </c>
      <c r="G5" s="3" t="s">
        <v>15</v>
      </c>
      <c r="H5" s="3" t="s">
        <v>16</v>
      </c>
    </row>
    <row r="6" spans="1:8" ht="40" customHeight="1">
      <c r="A6" s="3" t="s">
        <v>77</v>
      </c>
      <c r="B6" s="4" t="s">
        <v>10</v>
      </c>
      <c r="C6" s="3" t="s">
        <v>22</v>
      </c>
      <c r="D6" s="3" t="s">
        <v>12</v>
      </c>
      <c r="E6" s="5" t="s">
        <v>13</v>
      </c>
      <c r="F6" s="3" t="s">
        <v>78</v>
      </c>
      <c r="G6" s="3"/>
      <c r="H6" s="3"/>
    </row>
    <row r="7" spans="1:8" ht="40" customHeight="1">
      <c r="A7" s="3" t="s">
        <v>17</v>
      </c>
      <c r="B7" s="4" t="s">
        <v>10</v>
      </c>
      <c r="C7" s="3" t="s">
        <v>18</v>
      </c>
      <c r="D7" s="3" t="s">
        <v>12</v>
      </c>
      <c r="E7" s="5" t="s">
        <v>13</v>
      </c>
      <c r="F7" s="3" t="s">
        <v>19</v>
      </c>
      <c r="G7" s="3" t="s">
        <v>15</v>
      </c>
      <c r="H7" s="3" t="s">
        <v>16</v>
      </c>
    </row>
    <row r="8" spans="1:8" ht="40" customHeight="1">
      <c r="A8" s="3" t="s">
        <v>20</v>
      </c>
      <c r="B8" s="16" t="s">
        <v>21</v>
      </c>
      <c r="C8" s="3" t="s">
        <v>22</v>
      </c>
      <c r="D8" s="3" t="s">
        <v>12</v>
      </c>
      <c r="E8" s="5" t="s">
        <v>13</v>
      </c>
      <c r="F8" s="3" t="s">
        <v>23</v>
      </c>
      <c r="G8" s="3" t="s">
        <v>15</v>
      </c>
      <c r="H8" s="3" t="s">
        <v>16</v>
      </c>
    </row>
    <row r="9" spans="1:8" ht="40" customHeight="1">
      <c r="A9" s="3" t="s">
        <v>20</v>
      </c>
      <c r="B9" s="16" t="s">
        <v>21</v>
      </c>
      <c r="C9" s="3" t="s">
        <v>22</v>
      </c>
      <c r="D9" s="3" t="s">
        <v>12</v>
      </c>
      <c r="E9" s="5" t="s">
        <v>13</v>
      </c>
      <c r="F9" s="3" t="s">
        <v>24</v>
      </c>
      <c r="G9" s="3" t="s">
        <v>15</v>
      </c>
      <c r="H9" s="3" t="s">
        <v>16</v>
      </c>
    </row>
    <row r="10" spans="1:8" ht="40" customHeight="1">
      <c r="A10" s="3" t="s">
        <v>25</v>
      </c>
      <c r="B10" s="16" t="s">
        <v>21</v>
      </c>
      <c r="C10" s="3" t="s">
        <v>26</v>
      </c>
      <c r="D10" s="3" t="s">
        <v>27</v>
      </c>
      <c r="E10" s="5" t="s">
        <v>13</v>
      </c>
      <c r="F10" s="3" t="s">
        <v>28</v>
      </c>
      <c r="G10" s="3" t="s">
        <v>15</v>
      </c>
      <c r="H10" s="3" t="s">
        <v>29</v>
      </c>
    </row>
    <row r="11" spans="1:8" ht="40" customHeight="1">
      <c r="A11" s="3" t="s">
        <v>30</v>
      </c>
      <c r="B11" s="6" t="s">
        <v>31</v>
      </c>
      <c r="C11" s="3" t="s">
        <v>16</v>
      </c>
      <c r="D11" s="3" t="s">
        <v>32</v>
      </c>
      <c r="E11" s="7" t="s">
        <v>33</v>
      </c>
      <c r="F11" s="3" t="s">
        <v>34</v>
      </c>
      <c r="G11" s="3" t="s">
        <v>15</v>
      </c>
      <c r="H11" s="3" t="s">
        <v>35</v>
      </c>
    </row>
    <row r="12" spans="1:8" ht="40" customHeight="1">
      <c r="A12" s="3" t="s">
        <v>36</v>
      </c>
      <c r="B12" s="6" t="s">
        <v>31</v>
      </c>
      <c r="C12" s="3" t="s">
        <v>16</v>
      </c>
      <c r="D12" s="3" t="s">
        <v>37</v>
      </c>
      <c r="E12" s="7" t="s">
        <v>33</v>
      </c>
      <c r="F12" s="3" t="s">
        <v>38</v>
      </c>
      <c r="G12" s="3" t="s">
        <v>15</v>
      </c>
      <c r="H12" s="3" t="s">
        <v>39</v>
      </c>
    </row>
    <row r="13" spans="1:8" ht="40" customHeight="1">
      <c r="A13" s="3" t="s">
        <v>40</v>
      </c>
      <c r="B13" s="4" t="s">
        <v>10</v>
      </c>
      <c r="C13" s="3" t="s">
        <v>22</v>
      </c>
      <c r="D13" s="3" t="s">
        <v>27</v>
      </c>
      <c r="E13" s="7" t="s">
        <v>33</v>
      </c>
      <c r="F13" s="3" t="s">
        <v>41</v>
      </c>
      <c r="G13" s="3" t="s">
        <v>15</v>
      </c>
      <c r="H13" s="3" t="s">
        <v>42</v>
      </c>
    </row>
    <row r="14" spans="1:8" ht="40" customHeight="1">
      <c r="A14" s="3" t="s">
        <v>43</v>
      </c>
      <c r="B14" s="6" t="s">
        <v>31</v>
      </c>
      <c r="C14" s="3" t="s">
        <v>16</v>
      </c>
      <c r="D14" s="3" t="s">
        <v>44</v>
      </c>
      <c r="E14" s="7" t="s">
        <v>33</v>
      </c>
      <c r="F14" s="3" t="s">
        <v>45</v>
      </c>
      <c r="G14" s="3" t="s">
        <v>15</v>
      </c>
      <c r="H14" s="3" t="s">
        <v>35</v>
      </c>
    </row>
    <row r="15" spans="1:8" ht="40" customHeight="1">
      <c r="A15" s="3" t="s">
        <v>46</v>
      </c>
      <c r="B15" s="6" t="s">
        <v>31</v>
      </c>
      <c r="C15" s="3" t="s">
        <v>16</v>
      </c>
      <c r="D15" s="3" t="s">
        <v>47</v>
      </c>
      <c r="E15" s="8" t="s">
        <v>48</v>
      </c>
      <c r="F15" s="3" t="s">
        <v>49</v>
      </c>
      <c r="G15" s="3" t="s">
        <v>15</v>
      </c>
      <c r="H15" s="3" t="s">
        <v>50</v>
      </c>
    </row>
    <row r="16" spans="1:8" ht="40" customHeight="1">
      <c r="A16" s="3" t="s">
        <v>51</v>
      </c>
      <c r="B16" s="6" t="s">
        <v>31</v>
      </c>
      <c r="C16" s="3" t="s">
        <v>16</v>
      </c>
      <c r="D16" s="3" t="s">
        <v>52</v>
      </c>
      <c r="E16" s="5" t="s">
        <v>13</v>
      </c>
      <c r="F16" s="3" t="s">
        <v>53</v>
      </c>
      <c r="G16" s="3" t="s">
        <v>15</v>
      </c>
      <c r="H16" s="3" t="s">
        <v>54</v>
      </c>
    </row>
    <row r="18" spans="1:2" ht="16" customHeight="1">
      <c r="A18" s="9" t="s">
        <v>55</v>
      </c>
      <c r="B18" s="10"/>
    </row>
    <row r="19" spans="1:2">
      <c r="A19" s="10" t="s">
        <v>56</v>
      </c>
      <c r="B19" s="10"/>
    </row>
    <row r="20" spans="1:2">
      <c r="A20" s="10" t="s">
        <v>57</v>
      </c>
      <c r="B20" s="10">
        <f>COUNTIF(B5:B16,"*DONE*")</f>
        <v>7</v>
      </c>
    </row>
    <row r="21" spans="1:2">
      <c r="A21" s="10" t="s">
        <v>58</v>
      </c>
      <c r="B21" s="10">
        <f>COUNTIF(B5:B16,"*IN PROGRESS*")</f>
        <v>0</v>
      </c>
    </row>
    <row r="22" spans="1:2">
      <c r="A22" s="10" t="s">
        <v>59</v>
      </c>
      <c r="B22" s="10">
        <f>COUNTIF(B5:B16,"*NOT STARTED*")+COUNTIF(B5:B16,"*PARTIALLY*")</f>
        <v>5</v>
      </c>
    </row>
    <row r="25" spans="1:2" ht="16" customHeight="1">
      <c r="A25" s="11" t="s">
        <v>60</v>
      </c>
    </row>
    <row r="26" spans="1:2">
      <c r="A26" t="s">
        <v>61</v>
      </c>
    </row>
    <row r="27" spans="1:2">
      <c r="A27" t="s">
        <v>62</v>
      </c>
    </row>
    <row r="28" spans="1:2">
      <c r="A28" t="s">
        <v>63</v>
      </c>
    </row>
    <row r="29" spans="1:2" ht="16" customHeight="1">
      <c r="A29" s="12" t="s">
        <v>64</v>
      </c>
    </row>
    <row r="30" spans="1:2">
      <c r="A30" s="13" t="s">
        <v>65</v>
      </c>
    </row>
    <row r="31" spans="1:2">
      <c r="A31" s="1" t="s">
        <v>66</v>
      </c>
    </row>
    <row r="32" spans="1:2">
      <c r="A32" s="17" t="s">
        <v>67</v>
      </c>
    </row>
    <row r="33" spans="1:1">
      <c r="A33" s="18" t="s">
        <v>68</v>
      </c>
    </row>
    <row r="34" spans="1:1">
      <c r="A34" s="14" t="s">
        <v>69</v>
      </c>
    </row>
    <row r="35" spans="1:1">
      <c r="A35" s="14" t="s">
        <v>70</v>
      </c>
    </row>
    <row r="36" spans="1:1">
      <c r="A36" s="14" t="s">
        <v>71</v>
      </c>
    </row>
    <row r="38" spans="1:1">
      <c r="A38" s="19" t="s">
        <v>72</v>
      </c>
    </row>
    <row r="39" spans="1:1">
      <c r="A39" s="15" t="s">
        <v>73</v>
      </c>
    </row>
    <row r="40" spans="1:1">
      <c r="A40" s="15" t="s">
        <v>74</v>
      </c>
    </row>
    <row r="42" spans="1:1">
      <c r="A42" s="20" t="s">
        <v>75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2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Soliman</cp:lastModifiedBy>
  <dcterms:created xsi:type="dcterms:W3CDTF">2026-04-11T19:13:26Z</dcterms:created>
  <dcterms:modified xsi:type="dcterms:W3CDTF">2026-04-12T09:41:18Z</dcterms:modified>
</cp:coreProperties>
</file>